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4"/>
    <sheet state="visible" name="Capacidad IT-001" sheetId="2" r:id="rId5"/>
  </sheets>
  <definedNames/>
  <calcPr/>
  <extLst>
    <ext uri="GoogleSheetsCustomDataVersion2">
      <go:sheetsCustomData xmlns:go="http://customooxmlschemas.google.com/" r:id="rId6" roundtripDataChecksum="tcQ49p3/S2uV6yQAPgNXN01hnZRo2F2ogQ9ozqWK9gE="/>
    </ext>
  </extLst>
</workbook>
</file>

<file path=xl/sharedStrings.xml><?xml version="1.0" encoding="utf-8"?>
<sst xmlns="http://schemas.openxmlformats.org/spreadsheetml/2006/main" count="267" uniqueCount="126">
  <si>
    <t>PROYECTO: GESTIÓN DE FESTIVALES Y VENTA DE ENTRADAS (WEB SOLUTIONS SL)</t>
  </si>
  <si>
    <t>Miembro del Equipo</t>
  </si>
  <si>
    <t>Catálogo de Requisitos y Especificaciones - Hito 3 (Semana 3)</t>
  </si>
  <si>
    <t>Capacidad Semanal (h)</t>
  </si>
  <si>
    <t>ID Épica</t>
  </si>
  <si>
    <t>Tarifa (€/h)</t>
  </si>
  <si>
    <t>Carga IT-001 (h)</t>
  </si>
  <si>
    <t>ID Hist. / Tarea</t>
  </si>
  <si>
    <t>Estado</t>
  </si>
  <si>
    <t>Nombre / Título</t>
  </si>
  <si>
    <t>Historia de Usuario / Descripción</t>
  </si>
  <si>
    <t>Tipo</t>
  </si>
  <si>
    <t>Prioridad MoSCoW</t>
  </si>
  <si>
    <t>Javier García</t>
  </si>
  <si>
    <t>Predecesores</t>
  </si>
  <si>
    <t>Esfuerzo Final (h-p)</t>
  </si>
  <si>
    <t>Responsable</t>
  </si>
  <si>
    <t>Coste Total (€)</t>
  </si>
  <si>
    <t>Iteración Planificada</t>
  </si>
  <si>
    <t>EP-001</t>
  </si>
  <si>
    <t>US-001</t>
  </si>
  <si>
    <t>Registro e inicio de sesión de usuarios</t>
  </si>
  <si>
    <t>Como usuario, quiero registrarme e iniciar sesión con mi correo electrónico y contraseña, para acceder a las funcionalidades personalizadas del sistema.</t>
  </si>
  <si>
    <t>Funcional</t>
  </si>
  <si>
    <t>Must</t>
  </si>
  <si>
    <t>—</t>
  </si>
  <si>
    <t>(Historia padre)</t>
  </si>
  <si>
    <t>IT-001</t>
  </si>
  <si>
    <t>TK-001-1</t>
  </si>
  <si>
    <t>Backend API Auth</t>
  </si>
  <si>
    <t>Desarrollo de endpoints de registro y login</t>
  </si>
  <si>
    <t>Tarea</t>
  </si>
  <si>
    <t>Justo Cilleros</t>
  </si>
  <si>
    <t>TK-001-2</t>
  </si>
  <si>
    <t>Frontend Auth form</t>
  </si>
  <si>
    <t>Maquetación y conexión de formularios</t>
  </si>
  <si>
    <t>Jaime Arias</t>
  </si>
  <si>
    <t>Álvaro Martín</t>
  </si>
  <si>
    <t>TK-001-3</t>
  </si>
  <si>
    <t>Testing Auth</t>
  </si>
  <si>
    <t>Pruebas unitarias y de integración</t>
  </si>
  <si>
    <t>Manuel Carvajal</t>
  </si>
  <si>
    <t>US-002</t>
  </si>
  <si>
    <t>Gestión de roles y permisos diferidos</t>
  </si>
  <si>
    <t>Como usuario del sistema, quiero tener un rol asignado (Guest, Cliente, Organizador, Proveedor, Admin) con interfaces y permisos específicos, para interactuar de forma segura según mi perfil.</t>
  </si>
  <si>
    <t>TK-002-1</t>
  </si>
  <si>
    <t>DB Roles Setup</t>
  </si>
  <si>
    <t>Configuración de esquema de roles en BBDD</t>
  </si>
  <si>
    <t>TK-002-2</t>
  </si>
  <si>
    <t>Middleware Auth</t>
  </si>
  <si>
    <t>Lógica de validación de JWT y roles</t>
  </si>
  <si>
    <t>TK-002-3</t>
  </si>
  <si>
    <t>Test Roles</t>
  </si>
  <si>
    <t>Verificación de accesos denegados/permitidos</t>
  </si>
  <si>
    <t>US-004</t>
  </si>
  <si>
    <t>Autenticación mediante OAuth 2.0</t>
  </si>
  <si>
    <t>Como usuario, quiero iniciar sesión mediante proveedores externos (Google, Apple) con OAuth 2.0, para agilizar el proceso de acceso sin crear contraseñas adicionales.</t>
  </si>
  <si>
    <t>Técnico</t>
  </si>
  <si>
    <t>TK-004-1</t>
  </si>
  <si>
    <t>Config OAuth Providers</t>
  </si>
  <si>
    <t>Alta y configuración de credenciales en Google/Apple</t>
  </si>
  <si>
    <t>TK-004-2</t>
  </si>
  <si>
    <t>Backend OAuth logic</t>
  </si>
  <si>
    <t>Callbacks y validación de tokens externos</t>
  </si>
  <si>
    <t>TK-004-3</t>
  </si>
  <si>
    <t>Frontend OAuth flow</t>
  </si>
  <si>
    <t>Botones sociales y redirección</t>
  </si>
  <si>
    <t>TK-004-4</t>
  </si>
  <si>
    <t>Documentación OAuth</t>
  </si>
  <si>
    <t>Documentar variables de entorno y arquitectura</t>
  </si>
  <si>
    <t>EP-002</t>
  </si>
  <si>
    <t>US-006</t>
  </si>
  <si>
    <t>Catálogo, Búsqueda y Detalle de Festivales</t>
  </si>
  <si>
    <t>Como usuario (Guest o Cliente), quiero ver, buscar festivales por nombre, fecha o artista y acceder a su ficha detallada, para informarme y comprar entradas.</t>
  </si>
  <si>
    <t>Equipo</t>
  </si>
  <si>
    <t>IT-002</t>
  </si>
  <si>
    <t>EP-003</t>
  </si>
  <si>
    <t>US-008</t>
  </si>
  <si>
    <t>Publicación y gestión de eventos y entradas</t>
  </si>
  <si>
    <t>Como Organizador, quiero dar de alta, editar y publicar festivales con sus diferentes tipos de entradas, para ponerlos a la venta en la plataforma.</t>
  </si>
  <si>
    <t>EP-004</t>
  </si>
  <si>
    <t>US-009</t>
  </si>
  <si>
    <t>Consulta y reserva de recintos por Proveedores</t>
  </si>
  <si>
    <t>Como Proveedor, quiero consultar la disponibilidad de recintos/espacios y reservarlos, para prestar mis servicios durante los festivales.</t>
  </si>
  <si>
    <t>IT-003</t>
  </si>
  <si>
    <t>EP-005</t>
  </si>
  <si>
    <t>US-014</t>
  </si>
  <si>
    <t>Gestión global de la plataforma por Administrador</t>
  </si>
  <si>
    <t>Como Administrador, quiero supervisar y gestionar usuarios, festivales, entradas y catálogo de productos, para garantizar el correcto funcionamiento de la plataforma.</t>
  </si>
  <si>
    <t>US-010</t>
  </si>
  <si>
    <t>Venta y gestión de catálogo de merchandising</t>
  </si>
  <si>
    <t>Como Proveedor, quiero publicar y gestionar mis artículos de merchandising, para venderlos a los asistentes del festival a través de la web.</t>
  </si>
  <si>
    <t>IT-004</t>
  </si>
  <si>
    <t>US-011</t>
  </si>
  <si>
    <t>Alertas de stock bajo para Proveedores</t>
  </si>
  <si>
    <t>Como Proveedor, quiero recibir avisos automáticos cuando las unidades de un producto sean escasas, para reponer inventario a tiempo.</t>
  </si>
  <si>
    <t>US-013</t>
  </si>
  <si>
    <t>Historial y reporte de ventas de mercancía</t>
  </si>
  <si>
    <t>Como Proveedor, quiero ver el listado y métricas de mis ventas de artículos recientes, para analizar el rendimiento de mis productos.</t>
  </si>
  <si>
    <t>US-003</t>
  </si>
  <si>
    <t>Consulta y modificación de perfil de Cliente</t>
  </si>
  <si>
    <t>Como Cliente, quiero consultar y actualizar mis datos personales (nombre, dirección, correo), para mantener mi información actualizada.</t>
  </si>
  <si>
    <t>Should</t>
  </si>
  <si>
    <t>US-016</t>
  </si>
  <si>
    <t>Protección contra ataques, inyecciones y rate-limiting</t>
  </si>
  <si>
    <t>Como Administrador, quiero que el sistema incorpore limitación de peticiones (rate-limiting) y sanitización contra inyecciones SQL/XSS, para proteger la infraestructura frente a ciberataques.</t>
  </si>
  <si>
    <t>Seguridad</t>
  </si>
  <si>
    <t>IT-005</t>
  </si>
  <si>
    <t>US-017</t>
  </si>
  <si>
    <t>Encriptación y ocultación de datos sensibles</t>
  </si>
  <si>
    <t>Como usuario, quiero que mis datos sensibles (contraseñas, tokens) no viajen en texto plano en las peticiones HTTP, para asegurar la privacidad de mi información.</t>
  </si>
  <si>
    <t>US-005</t>
  </si>
  <si>
    <t>Restablecimiento de contraseña por correo</t>
  </si>
  <si>
    <t>Como usuario registrado, quiero solicitar un enlace de restablecimiento de contraseña por email, para recuperar el acceso a mi cuenta si me olvido de las credenciales.</t>
  </si>
  <si>
    <t>US-007</t>
  </si>
  <si>
    <t>Rendimiento y carga veloz de la página principal</t>
  </si>
  <si>
    <t>Como usuario, quiero que la página principal cargue en menos de 2 segundos, para disfrutar de una navegación fluida y sin retrasos.</t>
  </si>
  <si>
    <t>Calidad</t>
  </si>
  <si>
    <t>IT-006</t>
  </si>
  <si>
    <t>US-015</t>
  </si>
  <si>
    <t>Dashboard de estadísticas y métricas globales</t>
  </si>
  <si>
    <t>Como Administrador, quiero visualizar un panel con métricas agregadas de ventas e ingresos globales, para la toma de decisiones estratégicas.</t>
  </si>
  <si>
    <t>Could</t>
  </si>
  <si>
    <t>US-012</t>
  </si>
  <si>
    <t>Panel e historial de participación en festivales</t>
  </si>
  <si>
    <t>Como Proveedor, quiero consultar el historial de festivales en los que he participado con mis recintos, para llevar un control de mi actividad histórica.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</si>
</sst>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674EA7"/>
      <name val="Arial"/>
    </font>
    <font>
      <color theme="1"/>
      <name val="Arial"/>
    </font>
    <font>
      <b/>
      <sz val="11.0"/>
      <color rgb="FFFFFFFF"/>
      <name val="Montserrat"/>
    </font>
    <font>
      <sz val="10.0"/>
      <color rgb="FF1C1A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69538B"/>
        <bgColor rgb="FF69538B"/>
      </patternFill>
    </fill>
  </fills>
  <borders count="2">
    <border/>
    <border>
      <left style="thin">
        <color rgb="FF7B747E"/>
      </left>
      <right style="thin">
        <color rgb="FF7B747E"/>
      </right>
      <top style="thin">
        <color rgb="FF7B747E"/>
      </top>
      <bottom style="thin">
        <color rgb="FF7B74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EF6FF"/>
          <bgColor rgb="FFFEF6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lanificación-style">
      <tableStyleElement dxfId="1" type="firstRowStripe"/>
      <tableStyleElement dxfId="2" type="secondRowStripe"/>
    </tableStyle>
    <tableStyle count="2" pivot="0" name="Capacidad IT-00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L3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lanificación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6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pacidad IT-0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5.88"/>
    <col customWidth="1" min="3" max="3" width="17.38"/>
    <col customWidth="1" min="4" max="4" width="40.38"/>
    <col customWidth="1" min="5" max="5" width="9.75"/>
    <col customWidth="1" min="6" max="6" width="16.63"/>
    <col customWidth="1" min="7" max="7" width="15.88"/>
    <col customWidth="1" min="8" max="8" width="12.75"/>
    <col customWidth="1" min="9" max="9" width="17.25"/>
    <col customWidth="1" min="10" max="10" width="10.0"/>
    <col customWidth="1" min="11" max="11" width="10.38"/>
    <col customWidth="1" min="12" max="12" width="14.13"/>
  </cols>
  <sheetData>
    <row r="1" ht="15.75" customHeight="1">
      <c r="A1" s="1" t="s">
        <v>0</v>
      </c>
      <c r="B1" s="1"/>
      <c r="C1" s="1"/>
      <c r="D1" s="1"/>
    </row>
    <row r="2" ht="15.75" customHeight="1">
      <c r="A2" s="2" t="s">
        <v>2</v>
      </c>
    </row>
    <row r="3" ht="15.75" customHeight="1"/>
    <row r="4" ht="15.75" customHeight="1">
      <c r="A4" s="3" t="s">
        <v>4</v>
      </c>
      <c r="B4" s="3" t="s">
        <v>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14</v>
      </c>
      <c r="H4" s="3" t="s">
        <v>15</v>
      </c>
      <c r="I4" s="3" t="s">
        <v>16</v>
      </c>
      <c r="J4" s="3" t="s">
        <v>5</v>
      </c>
      <c r="K4" s="3" t="s">
        <v>17</v>
      </c>
      <c r="L4" s="3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>
        <v>10.0</v>
      </c>
      <c r="I5" s="5" t="s">
        <v>26</v>
      </c>
      <c r="J5" s="5"/>
      <c r="K5" s="5"/>
      <c r="L5" s="5" t="s">
        <v>27</v>
      </c>
    </row>
    <row r="6" ht="15.75" customHeight="1">
      <c r="A6" s="5" t="s">
        <v>19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24</v>
      </c>
      <c r="G6" s="5" t="s">
        <v>25</v>
      </c>
      <c r="H6" s="5">
        <v>5.0</v>
      </c>
      <c r="I6" s="5" t="s">
        <v>32</v>
      </c>
      <c r="J6" s="5">
        <v>25.0</v>
      </c>
      <c r="K6" s="5">
        <f t="shared" ref="K6:K8" si="1">IF(J6="", "", H6*J6)</f>
        <v>125</v>
      </c>
      <c r="L6" s="5" t="s">
        <v>27</v>
      </c>
    </row>
    <row r="7" ht="15.75" customHeight="1">
      <c r="A7" s="5" t="s">
        <v>19</v>
      </c>
      <c r="B7" s="5" t="s">
        <v>33</v>
      </c>
      <c r="C7" s="5" t="s">
        <v>34</v>
      </c>
      <c r="D7" s="5" t="s">
        <v>35</v>
      </c>
      <c r="E7" s="5" t="s">
        <v>31</v>
      </c>
      <c r="F7" s="5" t="s">
        <v>24</v>
      </c>
      <c r="G7" s="5" t="s">
        <v>28</v>
      </c>
      <c r="H7" s="5">
        <v>3.0</v>
      </c>
      <c r="I7" s="5" t="s">
        <v>37</v>
      </c>
      <c r="J7" s="5">
        <v>35.0</v>
      </c>
      <c r="K7" s="5">
        <f t="shared" si="1"/>
        <v>105</v>
      </c>
      <c r="L7" s="5" t="s">
        <v>27</v>
      </c>
    </row>
    <row r="8" ht="15.75" customHeight="1">
      <c r="A8" s="5" t="s">
        <v>19</v>
      </c>
      <c r="B8" s="5" t="s">
        <v>38</v>
      </c>
      <c r="C8" s="5" t="s">
        <v>39</v>
      </c>
      <c r="D8" s="5" t="s">
        <v>40</v>
      </c>
      <c r="E8" s="5" t="s">
        <v>31</v>
      </c>
      <c r="F8" s="5" t="s">
        <v>24</v>
      </c>
      <c r="G8" s="5" t="s">
        <v>33</v>
      </c>
      <c r="H8" s="5">
        <v>2.0</v>
      </c>
      <c r="I8" s="5" t="s">
        <v>41</v>
      </c>
      <c r="J8" s="5">
        <v>30.0</v>
      </c>
      <c r="K8" s="5">
        <f t="shared" si="1"/>
        <v>60</v>
      </c>
      <c r="L8" s="5" t="s">
        <v>27</v>
      </c>
    </row>
    <row r="9" ht="15.75" customHeight="1">
      <c r="A9" s="5" t="s">
        <v>19</v>
      </c>
      <c r="B9" s="5" t="s">
        <v>42</v>
      </c>
      <c r="C9" s="5" t="s">
        <v>43</v>
      </c>
      <c r="D9" s="5" t="s">
        <v>44</v>
      </c>
      <c r="E9" s="5" t="s">
        <v>23</v>
      </c>
      <c r="F9" s="5" t="s">
        <v>24</v>
      </c>
      <c r="G9" s="5" t="s">
        <v>20</v>
      </c>
      <c r="H9" s="5">
        <v>14.0</v>
      </c>
      <c r="I9" s="5" t="s">
        <v>26</v>
      </c>
      <c r="J9" s="5"/>
      <c r="K9" s="5"/>
      <c r="L9" s="5" t="s">
        <v>27</v>
      </c>
    </row>
    <row r="10" ht="15.75" customHeight="1">
      <c r="A10" s="5" t="s">
        <v>19</v>
      </c>
      <c r="B10" s="5" t="s">
        <v>45</v>
      </c>
      <c r="C10" s="5" t="s">
        <v>46</v>
      </c>
      <c r="D10" s="5" t="s">
        <v>47</v>
      </c>
      <c r="E10" s="5" t="s">
        <v>31</v>
      </c>
      <c r="F10" s="5" t="s">
        <v>24</v>
      </c>
      <c r="G10" s="5" t="s">
        <v>20</v>
      </c>
      <c r="H10" s="5">
        <v>4.0</v>
      </c>
      <c r="I10" s="5" t="s">
        <v>37</v>
      </c>
      <c r="J10" s="5">
        <v>35.0</v>
      </c>
      <c r="K10" s="5">
        <f t="shared" ref="K10:K12" si="2">IF(J10="", "", H10*J10)</f>
        <v>140</v>
      </c>
      <c r="L10" s="5" t="s">
        <v>27</v>
      </c>
    </row>
    <row r="11" ht="15.75" customHeight="1">
      <c r="A11" s="5" t="s">
        <v>19</v>
      </c>
      <c r="B11" s="5" t="s">
        <v>48</v>
      </c>
      <c r="C11" s="5" t="s">
        <v>49</v>
      </c>
      <c r="D11" s="5" t="s">
        <v>50</v>
      </c>
      <c r="E11" s="5" t="s">
        <v>31</v>
      </c>
      <c r="F11" s="5" t="s">
        <v>24</v>
      </c>
      <c r="G11" s="5" t="s">
        <v>45</v>
      </c>
      <c r="H11" s="5">
        <v>6.0</v>
      </c>
      <c r="I11" s="5" t="s">
        <v>32</v>
      </c>
      <c r="J11" s="5">
        <v>25.0</v>
      </c>
      <c r="K11" s="5">
        <f t="shared" si="2"/>
        <v>150</v>
      </c>
      <c r="L11" s="5" t="s">
        <v>27</v>
      </c>
    </row>
    <row r="12" ht="15.75" customHeight="1">
      <c r="A12" s="5" t="s">
        <v>19</v>
      </c>
      <c r="B12" s="5" t="s">
        <v>51</v>
      </c>
      <c r="C12" s="5" t="s">
        <v>52</v>
      </c>
      <c r="D12" s="5" t="s">
        <v>53</v>
      </c>
      <c r="E12" s="5" t="s">
        <v>31</v>
      </c>
      <c r="F12" s="5" t="s">
        <v>24</v>
      </c>
      <c r="G12" s="5" t="s">
        <v>48</v>
      </c>
      <c r="H12" s="5">
        <v>4.0</v>
      </c>
      <c r="I12" s="5" t="s">
        <v>41</v>
      </c>
      <c r="J12" s="5">
        <v>30.0</v>
      </c>
      <c r="K12" s="5">
        <f t="shared" si="2"/>
        <v>120</v>
      </c>
      <c r="L12" s="5" t="s">
        <v>27</v>
      </c>
    </row>
    <row r="13" ht="15.75" customHeight="1">
      <c r="A13" s="5" t="s">
        <v>19</v>
      </c>
      <c r="B13" s="5" t="s">
        <v>54</v>
      </c>
      <c r="C13" s="5" t="s">
        <v>55</v>
      </c>
      <c r="D13" s="5" t="s">
        <v>56</v>
      </c>
      <c r="E13" s="5" t="s">
        <v>57</v>
      </c>
      <c r="F13" s="5" t="s">
        <v>24</v>
      </c>
      <c r="G13" s="5" t="s">
        <v>20</v>
      </c>
      <c r="H13" s="5">
        <v>16.0</v>
      </c>
      <c r="I13" s="5" t="s">
        <v>26</v>
      </c>
      <c r="J13" s="5"/>
      <c r="K13" s="5"/>
      <c r="L13" s="5" t="s">
        <v>27</v>
      </c>
    </row>
    <row r="14" ht="15.75" customHeight="1">
      <c r="A14" s="5" t="s">
        <v>19</v>
      </c>
      <c r="B14" s="5" t="s">
        <v>58</v>
      </c>
      <c r="C14" s="5" t="s">
        <v>59</v>
      </c>
      <c r="D14" s="5" t="s">
        <v>60</v>
      </c>
      <c r="E14" s="5" t="s">
        <v>31</v>
      </c>
      <c r="F14" s="5" t="s">
        <v>24</v>
      </c>
      <c r="G14" s="5" t="s">
        <v>20</v>
      </c>
      <c r="H14" s="5">
        <v>3.0</v>
      </c>
      <c r="I14" s="5" t="s">
        <v>13</v>
      </c>
      <c r="J14" s="5">
        <v>35.0</v>
      </c>
      <c r="K14" s="5">
        <f t="shared" ref="K14:K31" si="3">IF(J14="", "", H14*J14)</f>
        <v>105</v>
      </c>
      <c r="L14" s="5" t="s">
        <v>27</v>
      </c>
    </row>
    <row r="15" ht="15.75" customHeight="1">
      <c r="A15" s="5" t="s">
        <v>19</v>
      </c>
      <c r="B15" s="5" t="s">
        <v>61</v>
      </c>
      <c r="C15" s="5" t="s">
        <v>62</v>
      </c>
      <c r="D15" s="5" t="s">
        <v>63</v>
      </c>
      <c r="E15" s="5" t="s">
        <v>31</v>
      </c>
      <c r="F15" s="5" t="s">
        <v>24</v>
      </c>
      <c r="G15" s="5" t="s">
        <v>58</v>
      </c>
      <c r="H15" s="5">
        <v>5.0</v>
      </c>
      <c r="I15" s="5" t="s">
        <v>32</v>
      </c>
      <c r="J15" s="5">
        <v>25.0</v>
      </c>
      <c r="K15" s="5">
        <f t="shared" si="3"/>
        <v>125</v>
      </c>
      <c r="L15" s="5" t="s">
        <v>27</v>
      </c>
    </row>
    <row r="16" ht="15.75" customHeight="1">
      <c r="A16" s="5" t="s">
        <v>19</v>
      </c>
      <c r="B16" s="5" t="s">
        <v>64</v>
      </c>
      <c r="C16" s="5" t="s">
        <v>65</v>
      </c>
      <c r="D16" s="5" t="s">
        <v>66</v>
      </c>
      <c r="E16" s="5" t="s">
        <v>31</v>
      </c>
      <c r="F16" s="5" t="s">
        <v>24</v>
      </c>
      <c r="G16" s="5" t="s">
        <v>58</v>
      </c>
      <c r="H16" s="5">
        <v>5.0</v>
      </c>
      <c r="I16" s="5" t="s">
        <v>41</v>
      </c>
      <c r="J16" s="5">
        <v>30.0</v>
      </c>
      <c r="K16" s="5">
        <f t="shared" si="3"/>
        <v>150</v>
      </c>
      <c r="L16" s="5" t="s">
        <v>27</v>
      </c>
    </row>
    <row r="17" ht="15.75" customHeight="1">
      <c r="A17" s="5" t="s">
        <v>19</v>
      </c>
      <c r="B17" s="5" t="s">
        <v>67</v>
      </c>
      <c r="C17" s="5" t="s">
        <v>68</v>
      </c>
      <c r="D17" s="5" t="s">
        <v>69</v>
      </c>
      <c r="E17" s="5" t="s">
        <v>31</v>
      </c>
      <c r="F17" s="5" t="s">
        <v>24</v>
      </c>
      <c r="G17" s="5" t="s">
        <v>64</v>
      </c>
      <c r="H17" s="5">
        <v>3.0</v>
      </c>
      <c r="I17" s="5" t="s">
        <v>36</v>
      </c>
      <c r="J17" s="5">
        <v>30.0</v>
      </c>
      <c r="K17" s="5">
        <f t="shared" si="3"/>
        <v>90</v>
      </c>
      <c r="L17" s="5" t="s">
        <v>27</v>
      </c>
    </row>
    <row r="18" ht="15.75" customHeight="1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23</v>
      </c>
      <c r="F18" s="5" t="s">
        <v>24</v>
      </c>
      <c r="G18" s="5" t="s">
        <v>25</v>
      </c>
      <c r="H18" s="5">
        <v>14.0</v>
      </c>
      <c r="I18" s="5" t="s">
        <v>74</v>
      </c>
      <c r="J18" s="5">
        <v>30.0</v>
      </c>
      <c r="K18" s="5">
        <f t="shared" si="3"/>
        <v>420</v>
      </c>
      <c r="L18" s="5" t="s">
        <v>75</v>
      </c>
    </row>
    <row r="19" ht="15.75" customHeight="1">
      <c r="A19" s="5" t="s">
        <v>76</v>
      </c>
      <c r="B19" s="5" t="s">
        <v>77</v>
      </c>
      <c r="C19" s="5" t="s">
        <v>78</v>
      </c>
      <c r="D19" s="5" t="s">
        <v>79</v>
      </c>
      <c r="E19" s="5" t="s">
        <v>23</v>
      </c>
      <c r="F19" s="5" t="s">
        <v>24</v>
      </c>
      <c r="G19" s="5" t="s">
        <v>42</v>
      </c>
      <c r="H19" s="5">
        <v>18.0</v>
      </c>
      <c r="I19" s="5" t="s">
        <v>74</v>
      </c>
      <c r="J19" s="5">
        <v>30.0</v>
      </c>
      <c r="K19" s="5">
        <f t="shared" si="3"/>
        <v>540</v>
      </c>
      <c r="L19" s="5" t="s">
        <v>75</v>
      </c>
    </row>
    <row r="20" ht="15.75" customHeight="1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23</v>
      </c>
      <c r="F20" s="5" t="s">
        <v>24</v>
      </c>
      <c r="G20" s="5" t="s">
        <v>42</v>
      </c>
      <c r="H20" s="5">
        <v>16.0</v>
      </c>
      <c r="I20" s="5" t="s">
        <v>74</v>
      </c>
      <c r="J20" s="5">
        <v>30.0</v>
      </c>
      <c r="K20" s="5">
        <f t="shared" si="3"/>
        <v>480</v>
      </c>
      <c r="L20" s="5" t="s">
        <v>84</v>
      </c>
    </row>
    <row r="21" ht="15.75" customHeight="1">
      <c r="A21" s="5" t="s">
        <v>85</v>
      </c>
      <c r="B21" s="5" t="s">
        <v>86</v>
      </c>
      <c r="C21" s="5" t="s">
        <v>87</v>
      </c>
      <c r="D21" s="5" t="s">
        <v>88</v>
      </c>
      <c r="E21" s="5" t="s">
        <v>23</v>
      </c>
      <c r="F21" s="5" t="s">
        <v>24</v>
      </c>
      <c r="G21" s="5" t="s">
        <v>42</v>
      </c>
      <c r="H21" s="5">
        <v>18.0</v>
      </c>
      <c r="I21" s="5" t="s">
        <v>74</v>
      </c>
      <c r="J21" s="5">
        <v>30.0</v>
      </c>
      <c r="K21" s="5">
        <f t="shared" si="3"/>
        <v>540</v>
      </c>
      <c r="L21" s="5" t="s">
        <v>84</v>
      </c>
    </row>
    <row r="22" ht="15.75" customHeight="1">
      <c r="A22" s="5" t="s">
        <v>80</v>
      </c>
      <c r="B22" s="5" t="s">
        <v>89</v>
      </c>
      <c r="C22" s="5" t="s">
        <v>90</v>
      </c>
      <c r="D22" s="5" t="s">
        <v>91</v>
      </c>
      <c r="E22" s="5" t="s">
        <v>23</v>
      </c>
      <c r="F22" s="5" t="s">
        <v>24</v>
      </c>
      <c r="G22" s="5" t="s">
        <v>42</v>
      </c>
      <c r="H22" s="5">
        <v>14.0</v>
      </c>
      <c r="I22" s="5" t="s">
        <v>74</v>
      </c>
      <c r="J22" s="5">
        <v>30.0</v>
      </c>
      <c r="K22" s="5">
        <f t="shared" si="3"/>
        <v>420</v>
      </c>
      <c r="L22" s="5" t="s">
        <v>92</v>
      </c>
    </row>
    <row r="23" ht="15.75" customHeight="1">
      <c r="A23" s="5" t="s">
        <v>80</v>
      </c>
      <c r="B23" s="5" t="s">
        <v>93</v>
      </c>
      <c r="C23" s="5" t="s">
        <v>94</v>
      </c>
      <c r="D23" s="5" t="s">
        <v>95</v>
      </c>
      <c r="E23" s="5" t="s">
        <v>57</v>
      </c>
      <c r="F23" s="5" t="s">
        <v>24</v>
      </c>
      <c r="G23" s="5" t="s">
        <v>89</v>
      </c>
      <c r="H23" s="5">
        <v>12.0</v>
      </c>
      <c r="I23" s="5" t="s">
        <v>74</v>
      </c>
      <c r="J23" s="5">
        <v>30.0</v>
      </c>
      <c r="K23" s="5">
        <f t="shared" si="3"/>
        <v>360</v>
      </c>
      <c r="L23" s="5" t="s">
        <v>92</v>
      </c>
    </row>
    <row r="24" ht="15.75" customHeight="1">
      <c r="A24" s="5" t="s">
        <v>80</v>
      </c>
      <c r="B24" s="5" t="s">
        <v>96</v>
      </c>
      <c r="C24" s="5" t="s">
        <v>97</v>
      </c>
      <c r="D24" s="5" t="s">
        <v>98</v>
      </c>
      <c r="E24" s="5" t="s">
        <v>23</v>
      </c>
      <c r="F24" s="5" t="s">
        <v>24</v>
      </c>
      <c r="G24" s="5" t="s">
        <v>89</v>
      </c>
      <c r="H24" s="5">
        <v>10.0</v>
      </c>
      <c r="I24" s="5" t="s">
        <v>74</v>
      </c>
      <c r="J24" s="5">
        <v>30.0</v>
      </c>
      <c r="K24" s="5">
        <f t="shared" si="3"/>
        <v>300</v>
      </c>
      <c r="L24" s="5" t="s">
        <v>92</v>
      </c>
    </row>
    <row r="25" ht="15.75" customHeight="1">
      <c r="A25" s="5" t="s">
        <v>19</v>
      </c>
      <c r="B25" s="5" t="s">
        <v>99</v>
      </c>
      <c r="C25" s="5" t="s">
        <v>100</v>
      </c>
      <c r="D25" s="5" t="s">
        <v>101</v>
      </c>
      <c r="E25" s="5" t="s">
        <v>23</v>
      </c>
      <c r="F25" s="5" t="s">
        <v>102</v>
      </c>
      <c r="G25" s="5" t="s">
        <v>20</v>
      </c>
      <c r="H25" s="5">
        <v>6.0</v>
      </c>
      <c r="I25" s="5" t="s">
        <v>74</v>
      </c>
      <c r="J25" s="5">
        <v>30.0</v>
      </c>
      <c r="K25" s="5">
        <f t="shared" si="3"/>
        <v>180</v>
      </c>
      <c r="L25" s="5" t="s">
        <v>92</v>
      </c>
    </row>
    <row r="26" ht="15.75" customHeight="1">
      <c r="A26" s="5" t="s">
        <v>85</v>
      </c>
      <c r="B26" s="5" t="s">
        <v>103</v>
      </c>
      <c r="C26" s="5" t="s">
        <v>104</v>
      </c>
      <c r="D26" s="5" t="s">
        <v>105</v>
      </c>
      <c r="E26" s="5" t="s">
        <v>106</v>
      </c>
      <c r="F26" s="5" t="s">
        <v>24</v>
      </c>
      <c r="G26" s="5" t="s">
        <v>20</v>
      </c>
      <c r="H26" s="5">
        <v>20.0</v>
      </c>
      <c r="I26" s="5" t="s">
        <v>74</v>
      </c>
      <c r="J26" s="5">
        <v>30.0</v>
      </c>
      <c r="K26" s="5">
        <f t="shared" si="3"/>
        <v>600</v>
      </c>
      <c r="L26" s="5" t="s">
        <v>107</v>
      </c>
    </row>
    <row r="27" ht="15.75" customHeight="1">
      <c r="A27" s="5" t="s">
        <v>85</v>
      </c>
      <c r="B27" s="5" t="s">
        <v>108</v>
      </c>
      <c r="C27" s="5" t="s">
        <v>109</v>
      </c>
      <c r="D27" s="5" t="s">
        <v>110</v>
      </c>
      <c r="E27" s="5" t="s">
        <v>106</v>
      </c>
      <c r="F27" s="5" t="s">
        <v>102</v>
      </c>
      <c r="G27" s="5" t="s">
        <v>20</v>
      </c>
      <c r="H27" s="5">
        <v>12.0</v>
      </c>
      <c r="I27" s="5" t="s">
        <v>74</v>
      </c>
      <c r="J27" s="5">
        <v>30.0</v>
      </c>
      <c r="K27" s="5">
        <f t="shared" si="3"/>
        <v>360</v>
      </c>
      <c r="L27" s="5" t="s">
        <v>107</v>
      </c>
    </row>
    <row r="28" ht="15.75" customHeight="1">
      <c r="A28" s="5" t="s">
        <v>19</v>
      </c>
      <c r="B28" s="5" t="s">
        <v>111</v>
      </c>
      <c r="C28" s="5" t="s">
        <v>112</v>
      </c>
      <c r="D28" s="5" t="s">
        <v>113</v>
      </c>
      <c r="E28" s="5" t="s">
        <v>106</v>
      </c>
      <c r="F28" s="5" t="s">
        <v>102</v>
      </c>
      <c r="G28" s="5" t="s">
        <v>20</v>
      </c>
      <c r="H28" s="5">
        <v>8.0</v>
      </c>
      <c r="I28" s="5" t="s">
        <v>74</v>
      </c>
      <c r="J28" s="5">
        <v>30.0</v>
      </c>
      <c r="K28" s="5">
        <f t="shared" si="3"/>
        <v>240</v>
      </c>
      <c r="L28" s="5" t="s">
        <v>107</v>
      </c>
    </row>
    <row r="29" ht="15.75" customHeight="1">
      <c r="A29" s="5" t="s">
        <v>70</v>
      </c>
      <c r="B29" s="5" t="s">
        <v>114</v>
      </c>
      <c r="C29" s="5" t="s">
        <v>115</v>
      </c>
      <c r="D29" s="5" t="s">
        <v>116</v>
      </c>
      <c r="E29" s="5" t="s">
        <v>117</v>
      </c>
      <c r="F29" s="5" t="s">
        <v>102</v>
      </c>
      <c r="G29" s="5" t="s">
        <v>71</v>
      </c>
      <c r="H29" s="5">
        <v>16.0</v>
      </c>
      <c r="I29" s="5" t="s">
        <v>74</v>
      </c>
      <c r="J29" s="5">
        <v>30.0</v>
      </c>
      <c r="K29" s="5">
        <f t="shared" si="3"/>
        <v>480</v>
      </c>
      <c r="L29" s="5" t="s">
        <v>118</v>
      </c>
    </row>
    <row r="30" ht="15.75" customHeight="1">
      <c r="A30" s="5" t="s">
        <v>85</v>
      </c>
      <c r="B30" s="5" t="s">
        <v>119</v>
      </c>
      <c r="C30" s="5" t="s">
        <v>120</v>
      </c>
      <c r="D30" s="5" t="s">
        <v>121</v>
      </c>
      <c r="E30" s="5" t="s">
        <v>23</v>
      </c>
      <c r="F30" s="5" t="s">
        <v>122</v>
      </c>
      <c r="G30" s="5" t="s">
        <v>86</v>
      </c>
      <c r="H30" s="5">
        <v>16.0</v>
      </c>
      <c r="I30" s="5" t="s">
        <v>74</v>
      </c>
      <c r="J30" s="5">
        <v>30.0</v>
      </c>
      <c r="K30" s="5">
        <f t="shared" si="3"/>
        <v>480</v>
      </c>
      <c r="L30" s="5" t="s">
        <v>118</v>
      </c>
    </row>
    <row r="31" ht="15.75" customHeight="1">
      <c r="A31" s="5" t="s">
        <v>80</v>
      </c>
      <c r="B31" s="5" t="s">
        <v>123</v>
      </c>
      <c r="C31" s="5" t="s">
        <v>124</v>
      </c>
      <c r="D31" s="5" t="s">
        <v>125</v>
      </c>
      <c r="E31" s="5" t="s">
        <v>23</v>
      </c>
      <c r="F31" s="5" t="s">
        <v>122</v>
      </c>
      <c r="G31" s="5" t="s">
        <v>81</v>
      </c>
      <c r="H31" s="5">
        <v>8.0</v>
      </c>
      <c r="I31" s="5" t="s">
        <v>74</v>
      </c>
      <c r="J31" s="5">
        <v>30.0</v>
      </c>
      <c r="K31" s="5">
        <f t="shared" si="3"/>
        <v>240</v>
      </c>
      <c r="L31" s="5" t="s">
        <v>118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0.63"/>
    <col customWidth="1" min="3" max="3" width="10.0"/>
    <col customWidth="1" min="4" max="4" width="11.75"/>
    <col customWidth="1" min="5" max="5" width="7.38"/>
    <col customWidth="1" min="6" max="6" width="12.63"/>
  </cols>
  <sheetData>
    <row r="1" ht="15.75" customHeight="1">
      <c r="A1" s="3" t="s">
        <v>1</v>
      </c>
      <c r="B1" s="3" t="s">
        <v>3</v>
      </c>
      <c r="C1" s="3" t="s">
        <v>5</v>
      </c>
      <c r="D1" s="3" t="s">
        <v>6</v>
      </c>
      <c r="E1" s="3" t="s">
        <v>8</v>
      </c>
    </row>
    <row r="2" ht="15.75" customHeight="1">
      <c r="A2" s="4" t="s">
        <v>13</v>
      </c>
      <c r="B2" s="4">
        <v>5.0</v>
      </c>
      <c r="C2" s="4">
        <v>35.0</v>
      </c>
      <c r="D2" s="4">
        <f>SUMIFS('Planificación'!H:H, 'Planificación'!I:I, A2, 'Planificación'!L:L, "IT-001")</f>
        <v>3</v>
      </c>
      <c r="E2" s="4" t="str">
        <f t="shared" ref="E2:E6" si="1">IF(D2&gt;B2, "Sobrecargado", "OK")</f>
        <v>OK</v>
      </c>
    </row>
    <row r="3" ht="15.75" customHeight="1">
      <c r="A3" s="4" t="s">
        <v>36</v>
      </c>
      <c r="B3" s="4">
        <v>5.0</v>
      </c>
      <c r="C3" s="4">
        <v>30.0</v>
      </c>
      <c r="D3" s="4">
        <f>SUMIFS('Planificación'!H:H, 'Planificación'!I:I, A3, 'Planificación'!L:L, "IT-001")</f>
        <v>3</v>
      </c>
      <c r="E3" s="4" t="str">
        <f t="shared" si="1"/>
        <v>OK</v>
      </c>
    </row>
    <row r="4" ht="15.75" customHeight="1">
      <c r="A4" s="4" t="s">
        <v>37</v>
      </c>
      <c r="B4" s="4">
        <v>10.0</v>
      </c>
      <c r="C4" s="4">
        <v>35.0</v>
      </c>
      <c r="D4" s="4">
        <f>SUMIFS('Planificación'!H:H, 'Planificación'!I:I, A4, 'Planificación'!L:L, "IT-001")</f>
        <v>7</v>
      </c>
      <c r="E4" s="4" t="str">
        <f t="shared" si="1"/>
        <v>OK</v>
      </c>
    </row>
    <row r="5" ht="15.75" customHeight="1">
      <c r="A5" s="4" t="s">
        <v>41</v>
      </c>
      <c r="B5" s="4">
        <v>11.25</v>
      </c>
      <c r="C5" s="4">
        <v>30.0</v>
      </c>
      <c r="D5" s="4">
        <f>SUMIFS('Planificación'!H:H, 'Planificación'!I:I, A5, 'Planificación'!L:L, "IT-001")</f>
        <v>11</v>
      </c>
      <c r="E5" s="4" t="str">
        <f t="shared" si="1"/>
        <v>OK</v>
      </c>
    </row>
    <row r="6" ht="15.75" customHeight="1">
      <c r="A6" s="4" t="s">
        <v>32</v>
      </c>
      <c r="B6" s="4">
        <v>16.25</v>
      </c>
      <c r="C6" s="4">
        <v>25.0</v>
      </c>
      <c r="D6" s="4">
        <f>SUMIFS('Planificación'!H:H, 'Planificación'!I:I, A6, 'Planificación'!L:L, "IT-001")</f>
        <v>16</v>
      </c>
      <c r="E6" s="4" t="str">
        <f t="shared" si="1"/>
        <v>OK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